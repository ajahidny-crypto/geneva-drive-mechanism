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  <sheet name="Formula Reference" sheetId="2" state="visible" r:id="rId4"/>
    <sheet name="Build Notes" sheetId="3" state="visible" r:id="rId5"/>
    <sheet name="Drive Wheel Bor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<sst xmlns="http://schemas.openxmlformats.org/spreadsheetml/2006/main" count="171" uniqueCount="154">
  <si>
    <t xml:space="preserve">Geneva Drive Mechanism — Design Calculator</t>
  </si>
  <si>
    <t xml:space="preserve">4-slot external Geneva drive, sized for FDM printing (Bambu Lab P1S / PETG), NEMA 17 driver</t>
  </si>
  <si>
    <t xml:space="preserve">Blue cells are yours to edit — change one and everything else updates on its own. Black cells are calculated for you, so no need to touch those.</t>
  </si>
  <si>
    <t xml:space="preserve">INPUTS — GENEVA GEOMETRY</t>
  </si>
  <si>
    <t xml:space="preserve">Geneva Wheel Radius (b)</t>
  </si>
  <si>
    <t xml:space="preserve">How big the star wheel is, measured from its center out to the edge.</t>
  </si>
  <si>
    <t xml:space="preserve">Number of Slots (n)</t>
  </si>
  <si>
    <t xml:space="preserve">How many slots are cut into the star wheel — also how many steps it takes to spin all the way around.</t>
  </si>
  <si>
    <t xml:space="preserve">Pin Diameter (p)</t>
  </si>
  <si>
    <t xml:space="preserve">How thick the little peg is that pushes the star wheel along.</t>
  </si>
  <si>
    <t xml:space="preserve">Clearance (t)</t>
  </si>
  <si>
    <t xml:space="preserve">A bit of built-in wiggle room in every fit, so PETG parts don't drag or bind after printing.</t>
  </si>
  <si>
    <t xml:space="preserve">Plate Thickness (h)</t>
  </si>
  <si>
    <t xml:space="preserve">How tall each wheel is, top to bottom. This one's just your own choice, not something the geometry forces on you.</t>
  </si>
  <si>
    <t xml:space="preserve">CORE GENEVA GEOMETRY (calculated)</t>
  </si>
  <si>
    <t xml:space="preserve">Half-Angle (λ = 180/n)</t>
  </si>
  <si>
    <t xml:space="preserve">Half the angle between two slots. Just a helper number the other formulas lean on.</t>
  </si>
  <si>
    <t xml:space="preserve">Drive Crank Radius (a)</t>
  </si>
  <si>
    <t xml:space="preserve">How far the pin sits from the center of the drive wheel.</t>
  </si>
  <si>
    <t xml:space="preserve">Center Distance (C)</t>
  </si>
  <si>
    <t xml:space="preserve">How far apart the two wheels' centers need to be mounted from each other.</t>
  </si>
  <si>
    <t xml:space="preserve">Slot Center Length (s)</t>
  </si>
  <si>
    <t xml:space="preserve">How deep each slot needs to be so the pin can travel all the way in and back out.</t>
  </si>
  <si>
    <t xml:space="preserve">Slot Width (w)</t>
  </si>
  <si>
    <t xml:space="preserve">How wide to cut each slot so the pin slides through without binding.</t>
  </si>
  <si>
    <t xml:space="preserve">Stop Arc Radius (y)</t>
  </si>
  <si>
    <t xml:space="preserve">Size of the locking pocket that keeps the star wheel from drifting when it's not being pushed.</t>
  </si>
  <si>
    <t xml:space="preserve">Stop Disc Radius (z)</t>
  </si>
  <si>
    <t xml:space="preserve">Size of the matching locking piece on the drive wheel that sits inside that pocket.</t>
  </si>
  <si>
    <t xml:space="preserve">Clearance Arc (v)</t>
  </si>
  <si>
    <t xml:space="preserve">A backup reference size for the same locking fit — same idea as the two above.</t>
  </si>
  <si>
    <t xml:space="preserve">Engagement Half-Angle (α)</t>
  </si>
  <si>
    <t xml:space="preserve">How far the drive wheel turns, in degrees, while it's actually pushing the star wheel.</t>
  </si>
  <si>
    <t xml:space="preserve">Dwell Half-Angle (β)</t>
  </si>
  <si>
    <t xml:space="preserve">How far the drive wheel turns while the star wheel just sits locked, waiting for the next push.</t>
  </si>
  <si>
    <t xml:space="preserve">Star Wheel Outer Diameter</t>
  </si>
  <si>
    <t xml:space="preserve">The full width of the star wheel, edge to edge.</t>
  </si>
  <si>
    <t xml:space="preserve">MOTOR / SHAFT INTERFACE</t>
  </si>
  <si>
    <t xml:space="preserve">Shaft Diameter (nominal)</t>
  </si>
  <si>
    <t xml:space="preserve">How thick the motor's actual metal shaft is.</t>
  </si>
  <si>
    <t xml:space="preserve">Bore Diametral Clearance</t>
  </si>
  <si>
    <t xml:space="preserve">A little extra room added to the hole so it slides onto the shaft freely.</t>
  </si>
  <si>
    <t xml:space="preserve">Bore Diameter</t>
  </si>
  <si>
    <t xml:space="preserve">How big to make the center hole so the shaft actually fits through it.</t>
  </si>
  <si>
    <t xml:space="preserve">Shaft Flat Dimension (D)</t>
  </si>
  <si>
    <t xml:space="preserve">Straight from the motor's spec sheet — describes the flat side ground into the shaft.</t>
  </si>
  <si>
    <t xml:space="preserve">Flat Depth from Center</t>
  </si>
  <si>
    <t xml:space="preserve">How far in to cut that flat surface, so the hole grips the motor's flat-sided shaft instead of spinning loose around it.</t>
  </si>
  <si>
    <t xml:space="preserve">Pin Protrusion above plate</t>
  </si>
  <si>
    <t xml:space="preserve">How far the pin sticks up above the wheel's top surface.</t>
  </si>
  <si>
    <t xml:space="preserve">Total Pin Height</t>
  </si>
  <si>
    <t xml:space="preserve">The pin's full height, from its base to its tip.</t>
  </si>
  <si>
    <t xml:space="preserve">Star Wheel Bore Diameter</t>
  </si>
  <si>
    <t xml:space="preserve">Same hole size as the drive wheel — the star wheel just spins freely on its own rod, no motor attached.</t>
  </si>
  <si>
    <t xml:space="preserve">Formula Reference — Derivations &amp; Sources</t>
  </si>
  <si>
    <t xml:space="preserve">#</t>
  </si>
  <si>
    <t xml:space="preserve">Name</t>
  </si>
  <si>
    <t xml:space="preserve">Formula</t>
  </si>
  <si>
    <t xml:space="preserve">Source / Basis</t>
  </si>
  <si>
    <t xml:space="preserve">Purpose</t>
  </si>
  <si>
    <t xml:space="preserve">Tangential entry condition</t>
  </si>
  <si>
    <t xml:space="preserve">sin(λ) = a/C,  λ = 180°/n</t>
  </si>
  <si>
    <t xml:space="preserve">Classical Geneva/Maltese-cross mechanism kinematics</t>
  </si>
  <si>
    <t xml:space="preserve">Ensures shock-free pin entry into the slot</t>
  </si>
  <si>
    <t xml:space="preserve">Crank radius</t>
  </si>
  <si>
    <t xml:space="preserve">a = C × sin(λ)</t>
  </si>
  <si>
    <t xml:space="preserve">Derived from #1</t>
  </si>
  <si>
    <t xml:space="preserve">Solves driver pin placement radius</t>
  </si>
  <si>
    <t xml:space="preserve">Driven wheel radius</t>
  </si>
  <si>
    <t xml:space="preserve">b = C × cos(λ)</t>
  </si>
  <si>
    <t xml:space="preserve">Solves star wheel engagement radius</t>
  </si>
  <si>
    <t xml:space="preserve">n=4 special identity</t>
  </si>
  <si>
    <t xml:space="preserve">sin45° = cos45° → a = b</t>
  </si>
  <si>
    <t xml:space="preserve">Trig identity — true only for the 4-slot case</t>
  </si>
  <si>
    <t xml:space="preserve">Forces equal crank/wheel radii for n=4</t>
  </si>
  <si>
    <t xml:space="preserve">Crank radius (general form)</t>
  </si>
  <si>
    <t xml:space="preserve">a = b × tan(λ)</t>
  </si>
  <si>
    <t xml:space="preserve">Combining #2 and #3, solved for a in terms of b</t>
  </si>
  <si>
    <t xml:space="preserve">Avoids circular a↔C dependency; used in Calculator tab</t>
  </si>
  <si>
    <t xml:space="preserve">Center distance</t>
  </si>
  <si>
    <t xml:space="preserve">C = √(a² + b²)   [= b×√2 when n=4]</t>
  </si>
  <si>
    <t xml:space="preserve">Right-triangle relation from #2, #3</t>
  </si>
  <si>
    <t xml:space="preserve">Solves wheel spacing from chosen b</t>
  </si>
  <si>
    <t xml:space="preserve">Slot center length</t>
  </si>
  <si>
    <t xml:space="preserve">s = a + b − C</t>
  </si>
  <si>
    <t xml:space="preserve">Geometric — max pin travel inside slot</t>
  </si>
  <si>
    <t xml:space="preserve">Sets slot depth (kinematic, before pin/clearance offset)</t>
  </si>
  <si>
    <t xml:space="preserve">Slot width</t>
  </si>
  <si>
    <t xml:space="preserve">w = p + t</t>
  </si>
  <si>
    <t xml:space="preserve">Manufacturing clearance</t>
  </si>
  <si>
    <t xml:space="preserve">Pin diameter plus printer/material clearance</t>
  </si>
  <si>
    <t xml:space="preserve">Stop arc radius</t>
  </si>
  <si>
    <t xml:space="preserve">y = a − 1.5×p</t>
  </si>
  <si>
    <t xml:space="preserve">FreeCAD 'Geneva Wheel' macro convention (github.com/FreeCAD/FreeCAD-macros)</t>
  </si>
  <si>
    <t xml:space="preserve">Sizes the locking pocket, offset clear of the pin boss</t>
  </si>
  <si>
    <t xml:space="preserve">Stop disc radius</t>
  </si>
  <si>
    <t xml:space="preserve">z = y − t</t>
  </si>
  <si>
    <t xml:space="preserve">Manufacturing clearance on #9</t>
  </si>
  <si>
    <t xml:space="preserve">Driver's locking disc — mates inside the locking pocket</t>
  </si>
  <si>
    <t xml:space="preserve">Clearance arc</t>
  </si>
  <si>
    <t xml:space="preserve">v = b × z / a</t>
  </si>
  <si>
    <t xml:space="preserve">FreeCAD 'Geneva Wheel' macro output (reference value)</t>
  </si>
  <si>
    <t xml:space="preserve">Auxiliary reference dimension; equals z when a=b (n=4)</t>
  </si>
  <si>
    <t xml:space="preserve">Engagement / dwell angles</t>
  </si>
  <si>
    <t xml:space="preserve">θ_engage = 180−2λ,  θ_dwell = 360−θ_engage</t>
  </si>
  <si>
    <t xml:space="preserve">Geometric analysis of the pin-in-slot triangle</t>
  </si>
  <si>
    <t xml:space="preserve">Driver rotation while indexing vs. while locked/stationary</t>
  </si>
  <si>
    <t xml:space="preserve">Core Geneva formulas (#1–7, #12): standard mechanism-design theory — cross-references cleanly to any machine-design textbook chapter on Geneva/Maltese-cross mechanisms (e.g. Norton, Design of Machinery; Shigley, Theory of Machines and Mechanisms).</t>
  </si>
  <si>
    <t xml:space="preserve">Build Notes — Key Issues Found &amp; Resolved</t>
  </si>
  <si>
    <t xml:space="preserve">Issue</t>
  </si>
  <si>
    <t xml:space="preserve">What Was Found</t>
  </si>
  <si>
    <t xml:space="preserve">Resolution</t>
  </si>
  <si>
    <t xml:space="preserve">Initial crank radius (r = 20.71mm)</t>
  </si>
  <si>
    <t xml:space="preserve">For a 4-slot Geneva, tangential entry mathematically requires the crank radius to equal the driven wheel radius exactly (a = b × tan(180/n), and tan45° = 1). The original value was actually C − b — a different geometric quantity — not a valid crank radius.</t>
  </si>
  <si>
    <t xml:space="preserve">Recalculated with a = b = 50mm. Slot depth had already been sized correctly for this radius, so only the crank radius itself needed correcting.</t>
  </si>
  <si>
    <t xml:space="preserve">Locking / stop-arc geometry</t>
  </si>
  <si>
    <t xml:space="preserve">Hand-derived construction for the driver's locking disc did not fully match how these features are conventionally built.</t>
  </si>
  <si>
    <t xml:space="preserve">Verified all core outputs (c, s, w, y, z, v) against the FreeCAD 'Geneva Wheel' macro (github.com/FreeCAD/FreeCAD-macros) — confirmed exact numeric match.</t>
  </si>
  <si>
    <t xml:space="preserve">Driver locking-arc clearance cut</t>
  </si>
  <si>
    <t xml:space="preserve">The exact 3D Boolean geometry for the driver/star-wheel locking interface proved difficult to reliably hand-derive in CAD from formulas alone.</t>
  </si>
  <si>
    <t xml:space="preserve">Final geometry achieved through iterative alignment directly in Fusion 360 — visually fitting the driver's locking feature to the star wheel's between-slot arcs, then patterning. Verified functional by test print rather than by closed-form coordinates.</t>
  </si>
  <si>
    <t xml:space="preserve">Final validation</t>
  </si>
  <si>
    <t xml:space="preserve">—</t>
  </si>
  <si>
    <t xml:space="preserve">Printed on a Bambu Lab P1S in PETG at 0.35mm design clearance. Mechanism indexes correctly through all four positions.</t>
  </si>
  <si>
    <t xml:space="preserve">Drive Wheel — Center Bore (With &amp; Without D-Flat)</t>
  </si>
  <si>
    <t xml:space="preserve">Blue cells are yours to edit. Black cells calculate themselves — leave those alone and they'll stay accurate.</t>
  </si>
  <si>
    <t xml:space="preserve">SHARED INPUTS</t>
  </si>
  <si>
    <t xml:space="preserve">WITHOUT D-FLAT — test build, mounted on plain rod</t>
  </si>
  <si>
    <t xml:space="preserve">Shape</t>
  </si>
  <si>
    <t xml:space="preserve">Plain round hole — no flat cut</t>
  </si>
  <si>
    <t xml:space="preserve">What the hole itself looks like.</t>
  </si>
  <si>
    <t xml:space="preserve">Fit Type</t>
  </si>
  <si>
    <t xml:space="preserve">Free-spinning slip fit</t>
  </si>
  <si>
    <t xml:space="preserve">How snugly this part is meant to sit on its shaft.</t>
  </si>
  <si>
    <t xml:space="preserve">Fusion Method</t>
  </si>
  <si>
    <t xml:space="preserve">Hole tool — Diameter above, Termination = All</t>
  </si>
  <si>
    <t xml:space="preserve">Which tool to reach for in Fusion 360 to make this cut.</t>
  </si>
  <si>
    <t xml:space="preserve">WITH D-FLAT — final build, keyed to NEMA 17 shaft</t>
  </si>
  <si>
    <t xml:space="preserve">Bore Diameter (before flat cut)</t>
  </si>
  <si>
    <t xml:space="preserve">The hole's size before the flat is trimmed into one side of it.</t>
  </si>
  <si>
    <t xml:space="preserve">Flat Chord Width</t>
  </si>
  <si>
    <t xml:space="preserve">How wide the flat cut ends up being, side to side, once it's trimmed in.</t>
  </si>
  <si>
    <t xml:space="preserve">Flat Length along shaft</t>
  </si>
  <si>
    <t xml:space="preserve">How far back from the tip of the motor's shaft the flat extends — tells you how deep you can safely cut.</t>
  </si>
  <si>
    <t xml:space="preserve">Circle with one flat chord (D-shape)</t>
  </si>
  <si>
    <t xml:space="preserve">Keyed press-fit onto motor's D-shaft</t>
  </si>
  <si>
    <t xml:space="preserve">QUICK CAD REFERENCE — Fusion 360</t>
  </si>
  <si>
    <t xml:space="preserve">1. Sketch circle, diameter = Bore Diameter (above), centered at origin</t>
  </si>
  <si>
    <t xml:space="preserve">2. [D-flat only] Draw a line crossing the circle; Sketch Dimension: origin to line = Flat Depth from Center</t>
  </si>
  <si>
    <t xml:space="preserve">3. [D-flat only] Add Horizontal constraint to the line if not automatic</t>
  </si>
  <si>
    <t xml:space="preserve">4. [D-flat only] Trim away the small arc segment beyond the line</t>
  </si>
  <si>
    <t xml:space="preserve">5. Finish sketch</t>
  </si>
  <si>
    <t xml:space="preserve">6. Without flat: Create &gt; Hole, Termination = All</t>
  </si>
  <si>
    <t xml:space="preserve">   With flat: Create &gt; Extrude (Cut), Termination = All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</si>
</sst>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&quot; mm&quot;"/>
    <numFmt numFmtId="166" formatCode="0"/>
    <numFmt numFmtId="167" formatCode="0.000&quot; deg&quot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33333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595959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44444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3"/>
    <col collapsed="false" customWidth="true" hidden="false" outlineLevel="0" max="4" min="4" style="1" width="5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A5" s="5" t="s">
        <v>3</v>
      </c>
      <c r="B5" s="6"/>
      <c r="C5" s="6"/>
    </row>
    <row r="6" customFormat="false" ht="27.75" hidden="false" customHeight="true" outlineLevel="0" collapsed="false">
      <c r="A6" s="7" t="s">
        <v>4</v>
      </c>
      <c r="B6" s="8" t="n">
        <v>50</v>
      </c>
      <c r="D6" s="9" t="s">
        <v>5</v>
      </c>
    </row>
    <row r="7" customFormat="false" ht="27.75" hidden="false" customHeight="true" outlineLevel="0" collapsed="false">
      <c r="A7" s="7" t="s">
        <v>6</v>
      </c>
      <c r="B7" s="10" t="n">
        <v>4</v>
      </c>
      <c r="D7" s="9" t="s">
        <v>7</v>
      </c>
    </row>
    <row r="8" customFormat="false" ht="27.75" hidden="false" customHeight="true" outlineLevel="0" collapsed="false">
      <c r="A8" s="7" t="s">
        <v>8</v>
      </c>
      <c r="B8" s="8" t="n">
        <v>6</v>
      </c>
      <c r="D8" s="9" t="s">
        <v>9</v>
      </c>
    </row>
    <row r="9" customFormat="false" ht="27.75" hidden="false" customHeight="true" outlineLevel="0" collapsed="false">
      <c r="A9" s="7" t="s">
        <v>10</v>
      </c>
      <c r="B9" s="8" t="n">
        <v>0.35</v>
      </c>
      <c r="D9" s="9" t="s">
        <v>11</v>
      </c>
    </row>
    <row r="10" customFormat="false" ht="27.75" hidden="false" customHeight="true" outlineLevel="0" collapsed="false">
      <c r="A10" s="7" t="s">
        <v>12</v>
      </c>
      <c r="B10" s="8" t="n">
        <v>8</v>
      </c>
      <c r="D10" s="9" t="s">
        <v>13</v>
      </c>
    </row>
    <row r="12" customFormat="false" ht="15" hidden="false" customHeight="true" outlineLevel="0" collapsed="false">
      <c r="A12" s="5" t="s">
        <v>14</v>
      </c>
      <c r="B12" s="6"/>
      <c r="C12" s="6"/>
    </row>
    <row r="13" customFormat="false" ht="27.75" hidden="false" customHeight="true" outlineLevel="0" collapsed="false">
      <c r="A13" s="7" t="s">
        <v>15</v>
      </c>
      <c r="B13" s="11" t="n">
        <f aca="false">180/B7</f>
        <v>45</v>
      </c>
      <c r="D13" s="9" t="s">
        <v>16</v>
      </c>
    </row>
    <row r="14" customFormat="false" ht="27.75" hidden="false" customHeight="true" outlineLevel="0" collapsed="false">
      <c r="A14" s="7" t="s">
        <v>17</v>
      </c>
      <c r="B14" s="12" t="n">
        <f aca="false">B6*TAN(RADIANS(B13))</f>
        <v>50</v>
      </c>
      <c r="D14" s="9" t="s">
        <v>18</v>
      </c>
    </row>
    <row r="15" customFormat="false" ht="27.75" hidden="false" customHeight="true" outlineLevel="0" collapsed="false">
      <c r="A15" s="7" t="s">
        <v>19</v>
      </c>
      <c r="B15" s="12" t="n">
        <f aca="false">SQRT(B14^2+B6^2)</f>
        <v>70.7106781186547</v>
      </c>
      <c r="D15" s="9" t="s">
        <v>20</v>
      </c>
    </row>
    <row r="16" customFormat="false" ht="27.75" hidden="false" customHeight="true" outlineLevel="0" collapsed="false">
      <c r="A16" s="7" t="s">
        <v>21</v>
      </c>
      <c r="B16" s="12" t="n">
        <f aca="false">B14+B6-B15</f>
        <v>29.2893218813453</v>
      </c>
      <c r="D16" s="9" t="s">
        <v>22</v>
      </c>
    </row>
    <row r="17" customFormat="false" ht="27.75" hidden="false" customHeight="true" outlineLevel="0" collapsed="false">
      <c r="A17" s="7" t="s">
        <v>23</v>
      </c>
      <c r="B17" s="12" t="n">
        <f aca="false">B8+B9</f>
        <v>6.35</v>
      </c>
      <c r="D17" s="9" t="s">
        <v>24</v>
      </c>
    </row>
    <row r="18" customFormat="false" ht="27.75" hidden="false" customHeight="true" outlineLevel="0" collapsed="false">
      <c r="A18" s="7" t="s">
        <v>25</v>
      </c>
      <c r="B18" s="12" t="n">
        <f aca="false">B14-1.5*B8</f>
        <v>41</v>
      </c>
      <c r="D18" s="9" t="s">
        <v>26</v>
      </c>
    </row>
    <row r="19" customFormat="false" ht="27.75" hidden="false" customHeight="true" outlineLevel="0" collapsed="false">
      <c r="A19" s="7" t="s">
        <v>27</v>
      </c>
      <c r="B19" s="12" t="n">
        <f aca="false">B18-B9</f>
        <v>40.65</v>
      </c>
      <c r="D19" s="9" t="s">
        <v>28</v>
      </c>
    </row>
    <row r="20" customFormat="false" ht="27.75" hidden="false" customHeight="true" outlineLevel="0" collapsed="false">
      <c r="A20" s="7" t="s">
        <v>29</v>
      </c>
      <c r="B20" s="12" t="n">
        <f aca="false">B6*B19/B14</f>
        <v>40.65</v>
      </c>
      <c r="D20" s="9" t="s">
        <v>30</v>
      </c>
    </row>
    <row r="21" customFormat="false" ht="27.75" hidden="false" customHeight="true" outlineLevel="0" collapsed="false">
      <c r="A21" s="7" t="s">
        <v>31</v>
      </c>
      <c r="B21" s="11" t="n">
        <f aca="false">90-B13</f>
        <v>45</v>
      </c>
      <c r="D21" s="9" t="s">
        <v>32</v>
      </c>
    </row>
    <row r="22" customFormat="false" ht="27.75" hidden="false" customHeight="true" outlineLevel="0" collapsed="false">
      <c r="A22" s="7" t="s">
        <v>33</v>
      </c>
      <c r="B22" s="11" t="n">
        <f aca="false">90+B13</f>
        <v>135</v>
      </c>
      <c r="D22" s="9" t="s">
        <v>34</v>
      </c>
    </row>
    <row r="23" customFormat="false" ht="27.75" hidden="false" customHeight="true" outlineLevel="0" collapsed="false">
      <c r="A23" s="7" t="s">
        <v>35</v>
      </c>
      <c r="B23" s="12" t="n">
        <f aca="false">2*B6</f>
        <v>100</v>
      </c>
      <c r="D23" s="9" t="s">
        <v>36</v>
      </c>
    </row>
    <row r="25" customFormat="false" ht="15" hidden="false" customHeight="true" outlineLevel="0" collapsed="false">
      <c r="A25" s="5" t="s">
        <v>37</v>
      </c>
      <c r="B25" s="6"/>
      <c r="C25" s="6"/>
    </row>
    <row r="26" customFormat="false" ht="27.75" hidden="false" customHeight="true" outlineLevel="0" collapsed="false">
      <c r="A26" s="7" t="s">
        <v>38</v>
      </c>
      <c r="B26" s="8" t="n">
        <v>5</v>
      </c>
      <c r="D26" s="9" t="s">
        <v>39</v>
      </c>
    </row>
    <row r="27" customFormat="false" ht="27.75" hidden="false" customHeight="true" outlineLevel="0" collapsed="false">
      <c r="A27" s="7" t="s">
        <v>40</v>
      </c>
      <c r="B27" s="8" t="n">
        <v>0.3</v>
      </c>
      <c r="D27" s="9" t="s">
        <v>41</v>
      </c>
    </row>
    <row r="28" customFormat="false" ht="27.75" hidden="false" customHeight="true" outlineLevel="0" collapsed="false">
      <c r="A28" s="7" t="s">
        <v>42</v>
      </c>
      <c r="B28" s="12" t="n">
        <f aca="false">B26+B27</f>
        <v>5.3</v>
      </c>
      <c r="D28" s="9" t="s">
        <v>43</v>
      </c>
    </row>
    <row r="29" customFormat="false" ht="27.75" hidden="false" customHeight="true" outlineLevel="0" collapsed="false">
      <c r="A29" s="7" t="s">
        <v>44</v>
      </c>
      <c r="B29" s="8" t="n">
        <v>4.5</v>
      </c>
      <c r="D29" s="9" t="s">
        <v>45</v>
      </c>
    </row>
    <row r="30" customFormat="false" ht="27.75" hidden="false" customHeight="true" outlineLevel="0" collapsed="false">
      <c r="A30" s="7" t="s">
        <v>46</v>
      </c>
      <c r="B30" s="12" t="n">
        <f aca="false">B29-(B26/2)</f>
        <v>2</v>
      </c>
      <c r="D30" s="9" t="s">
        <v>47</v>
      </c>
    </row>
    <row r="31" customFormat="false" ht="27.75" hidden="false" customHeight="true" outlineLevel="0" collapsed="false">
      <c r="A31" s="7" t="s">
        <v>48</v>
      </c>
      <c r="B31" s="8" t="n">
        <v>1.25</v>
      </c>
      <c r="D31" s="9" t="s">
        <v>49</v>
      </c>
    </row>
    <row r="32" customFormat="false" ht="27.75" hidden="false" customHeight="true" outlineLevel="0" collapsed="false">
      <c r="A32" s="7" t="s">
        <v>50</v>
      </c>
      <c r="B32" s="12" t="n">
        <f aca="false">B10+B31</f>
        <v>9.25</v>
      </c>
      <c r="D32" s="9" t="s">
        <v>51</v>
      </c>
    </row>
    <row r="33" customFormat="false" ht="27.75" hidden="false" customHeight="true" outlineLevel="0" collapsed="false">
      <c r="A33" s="7" t="s">
        <v>52</v>
      </c>
      <c r="B33" s="12" t="n">
        <f aca="false">B28</f>
        <v>5.3</v>
      </c>
      <c r="D33" s="9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3" min="3" style="1" width="30"/>
    <col collapsed="false" customWidth="true" hidden="false" outlineLevel="0" max="5" min="4" style="1" width="42"/>
  </cols>
  <sheetData>
    <row r="1" customFormat="false" ht="17.25" hidden="false" customHeight="true" outlineLevel="0" collapsed="false">
      <c r="A1" s="2" t="s">
        <v>54</v>
      </c>
    </row>
    <row r="3" customFormat="false" ht="15" hidden="false" customHeight="true" outlineLevel="0" collapsed="false">
      <c r="A3" s="5" t="s">
        <v>55</v>
      </c>
      <c r="B3" s="5" t="s">
        <v>56</v>
      </c>
      <c r="C3" s="5" t="s">
        <v>57</v>
      </c>
      <c r="D3" s="5" t="s">
        <v>58</v>
      </c>
      <c r="E3" s="5" t="s">
        <v>59</v>
      </c>
    </row>
    <row r="4" customFormat="false" ht="30" hidden="false" customHeight="true" outlineLevel="0" collapsed="false">
      <c r="A4" s="13" t="n">
        <v>1</v>
      </c>
      <c r="B4" s="13" t="s">
        <v>60</v>
      </c>
      <c r="C4" s="13" t="s">
        <v>61</v>
      </c>
      <c r="D4" s="13" t="s">
        <v>62</v>
      </c>
      <c r="E4" s="13" t="s">
        <v>63</v>
      </c>
    </row>
    <row r="5" customFormat="false" ht="30" hidden="false" customHeight="true" outlineLevel="0" collapsed="false">
      <c r="A5" s="13" t="n">
        <v>2</v>
      </c>
      <c r="B5" s="13" t="s">
        <v>64</v>
      </c>
      <c r="C5" s="13" t="s">
        <v>65</v>
      </c>
      <c r="D5" s="13" t="s">
        <v>66</v>
      </c>
      <c r="E5" s="13" t="s">
        <v>67</v>
      </c>
    </row>
    <row r="6" customFormat="false" ht="30" hidden="false" customHeight="true" outlineLevel="0" collapsed="false">
      <c r="A6" s="13" t="n">
        <v>3</v>
      </c>
      <c r="B6" s="13" t="s">
        <v>68</v>
      </c>
      <c r="C6" s="13" t="s">
        <v>69</v>
      </c>
      <c r="D6" s="13" t="s">
        <v>66</v>
      </c>
      <c r="E6" s="13" t="s">
        <v>70</v>
      </c>
    </row>
    <row r="7" customFormat="false" ht="30" hidden="false" customHeight="true" outlineLevel="0" collapsed="false">
      <c r="A7" s="13" t="n">
        <v>4</v>
      </c>
      <c r="B7" s="13" t="s">
        <v>71</v>
      </c>
      <c r="C7" s="13" t="s">
        <v>72</v>
      </c>
      <c r="D7" s="13" t="s">
        <v>73</v>
      </c>
      <c r="E7" s="13" t="s">
        <v>74</v>
      </c>
    </row>
    <row r="8" customFormat="false" ht="30" hidden="false" customHeight="true" outlineLevel="0" collapsed="false">
      <c r="A8" s="13" t="n">
        <v>5</v>
      </c>
      <c r="B8" s="13" t="s">
        <v>75</v>
      </c>
      <c r="C8" s="13" t="s">
        <v>76</v>
      </c>
      <c r="D8" s="13" t="s">
        <v>77</v>
      </c>
      <c r="E8" s="13" t="s">
        <v>78</v>
      </c>
    </row>
    <row r="9" customFormat="false" ht="30" hidden="false" customHeight="true" outlineLevel="0" collapsed="false">
      <c r="A9" s="13" t="n">
        <v>6</v>
      </c>
      <c r="B9" s="13" t="s">
        <v>79</v>
      </c>
      <c r="C9" s="13" t="s">
        <v>80</v>
      </c>
      <c r="D9" s="13" t="s">
        <v>81</v>
      </c>
      <c r="E9" s="13" t="s">
        <v>82</v>
      </c>
    </row>
    <row r="10" customFormat="false" ht="30" hidden="false" customHeight="true" outlineLevel="0" collapsed="false">
      <c r="A10" s="13" t="n">
        <v>7</v>
      </c>
      <c r="B10" s="13" t="s">
        <v>83</v>
      </c>
      <c r="C10" s="13" t="s">
        <v>84</v>
      </c>
      <c r="D10" s="13" t="s">
        <v>85</v>
      </c>
      <c r="E10" s="13" t="s">
        <v>86</v>
      </c>
    </row>
    <row r="11" customFormat="false" ht="30" hidden="false" customHeight="true" outlineLevel="0" collapsed="false">
      <c r="A11" s="13" t="n">
        <v>8</v>
      </c>
      <c r="B11" s="13" t="s">
        <v>87</v>
      </c>
      <c r="C11" s="13" t="s">
        <v>88</v>
      </c>
      <c r="D11" s="13" t="s">
        <v>89</v>
      </c>
      <c r="E11" s="13" t="s">
        <v>90</v>
      </c>
    </row>
    <row r="12" customFormat="false" ht="30" hidden="false" customHeight="true" outlineLevel="0" collapsed="false">
      <c r="A12" s="13" t="n">
        <v>9</v>
      </c>
      <c r="B12" s="13" t="s">
        <v>91</v>
      </c>
      <c r="C12" s="13" t="s">
        <v>92</v>
      </c>
      <c r="D12" s="13" t="s">
        <v>93</v>
      </c>
      <c r="E12" s="13" t="s">
        <v>94</v>
      </c>
    </row>
    <row r="13" customFormat="false" ht="30" hidden="false" customHeight="true" outlineLevel="0" collapsed="false">
      <c r="A13" s="13" t="n">
        <v>10</v>
      </c>
      <c r="B13" s="13" t="s">
        <v>95</v>
      </c>
      <c r="C13" s="13" t="s">
        <v>96</v>
      </c>
      <c r="D13" s="13" t="s">
        <v>97</v>
      </c>
      <c r="E13" s="13" t="s">
        <v>98</v>
      </c>
    </row>
    <row r="14" customFormat="false" ht="30" hidden="false" customHeight="true" outlineLevel="0" collapsed="false">
      <c r="A14" s="13" t="n">
        <v>11</v>
      </c>
      <c r="B14" s="13" t="s">
        <v>99</v>
      </c>
      <c r="C14" s="13" t="s">
        <v>100</v>
      </c>
      <c r="D14" s="13" t="s">
        <v>101</v>
      </c>
      <c r="E14" s="13" t="s">
        <v>102</v>
      </c>
    </row>
    <row r="15" customFormat="false" ht="30" hidden="false" customHeight="true" outlineLevel="0" collapsed="false">
      <c r="A15" s="13" t="n">
        <v>12</v>
      </c>
      <c r="B15" s="13" t="s">
        <v>103</v>
      </c>
      <c r="C15" s="13" t="s">
        <v>104</v>
      </c>
      <c r="D15" s="13" t="s">
        <v>105</v>
      </c>
      <c r="E15" s="13" t="s">
        <v>106</v>
      </c>
    </row>
    <row r="17" customFormat="false" ht="27.75" hidden="false" customHeight="true" outlineLevel="0" collapsed="false">
      <c r="A17" s="14" t="s">
        <v>107</v>
      </c>
      <c r="B17" s="14"/>
      <c r="C17" s="14"/>
      <c r="D17" s="14"/>
      <c r="E17" s="14"/>
    </row>
  </sheetData>
  <mergeCells count="1"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46"/>
  </cols>
  <sheetData>
    <row r="1" customFormat="false" ht="17.25" hidden="false" customHeight="true" outlineLevel="0" collapsed="false">
      <c r="A1" s="2" t="s">
        <v>108</v>
      </c>
    </row>
    <row r="3" customFormat="false" ht="15" hidden="false" customHeight="true" outlineLevel="0" collapsed="false">
      <c r="A3" s="5" t="s">
        <v>109</v>
      </c>
      <c r="B3" s="5" t="s">
        <v>110</v>
      </c>
      <c r="C3" s="5" t="s">
        <v>111</v>
      </c>
    </row>
    <row r="4" customFormat="false" ht="60" hidden="false" customHeight="true" outlineLevel="0" collapsed="false">
      <c r="A4" s="13" t="s">
        <v>112</v>
      </c>
      <c r="B4" s="13" t="s">
        <v>113</v>
      </c>
      <c r="C4" s="13" t="s">
        <v>114</v>
      </c>
    </row>
    <row r="5" customFormat="false" ht="60" hidden="false" customHeight="true" outlineLevel="0" collapsed="false">
      <c r="A5" s="13" t="s">
        <v>115</v>
      </c>
      <c r="B5" s="13" t="s">
        <v>116</v>
      </c>
      <c r="C5" s="13" t="s">
        <v>117</v>
      </c>
    </row>
    <row r="6" customFormat="false" ht="60" hidden="false" customHeight="true" outlineLevel="0" collapsed="false">
      <c r="A6" s="13" t="s">
        <v>118</v>
      </c>
      <c r="B6" s="13" t="s">
        <v>119</v>
      </c>
      <c r="C6" s="13" t="s">
        <v>120</v>
      </c>
    </row>
    <row r="7" customFormat="false" ht="60" hidden="false" customHeight="true" outlineLevel="0" collapsed="false">
      <c r="A7" s="13" t="s">
        <v>121</v>
      </c>
      <c r="B7" s="13" t="s">
        <v>122</v>
      </c>
      <c r="C7" s="13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3"/>
    <col collapsed="false" customWidth="true" hidden="false" outlineLevel="0" max="4" min="4" style="1" width="58"/>
  </cols>
  <sheetData>
    <row r="1" customFormat="false" ht="17.25" hidden="false" customHeight="true" outlineLevel="0" collapsed="false">
      <c r="A1" s="2" t="s">
        <v>124</v>
      </c>
    </row>
    <row r="2" customFormat="false" ht="15" hidden="false" customHeight="true" outlineLevel="0" collapsed="false">
      <c r="A2" s="4" t="s">
        <v>125</v>
      </c>
    </row>
    <row r="4" customFormat="false" ht="15" hidden="false" customHeight="true" outlineLevel="0" collapsed="false">
      <c r="A4" s="5" t="s">
        <v>126</v>
      </c>
      <c r="B4" s="6"/>
      <c r="C4" s="6"/>
    </row>
    <row r="5" customFormat="false" ht="27.75" hidden="false" customHeight="true" outlineLevel="0" collapsed="false">
      <c r="A5" s="7" t="s">
        <v>38</v>
      </c>
      <c r="B5" s="8" t="n">
        <v>5</v>
      </c>
      <c r="D5" s="9" t="s">
        <v>39</v>
      </c>
    </row>
    <row r="6" customFormat="false" ht="27.75" hidden="false" customHeight="true" outlineLevel="0" collapsed="false">
      <c r="A6" s="7" t="s">
        <v>40</v>
      </c>
      <c r="B6" s="8" t="n">
        <v>0.3</v>
      </c>
      <c r="D6" s="9" t="s">
        <v>41</v>
      </c>
    </row>
    <row r="7" customFormat="false" ht="27.75" hidden="false" customHeight="true" outlineLevel="0" collapsed="false">
      <c r="A7" s="7" t="s">
        <v>42</v>
      </c>
      <c r="B7" s="12" t="n">
        <f aca="false">B5+B6</f>
        <v>5.3</v>
      </c>
      <c r="D7" s="9" t="s">
        <v>43</v>
      </c>
    </row>
    <row r="9" customFormat="false" ht="15" hidden="false" customHeight="true" outlineLevel="0" collapsed="false">
      <c r="A9" s="5" t="s">
        <v>127</v>
      </c>
      <c r="B9" s="6"/>
      <c r="C9" s="6"/>
    </row>
    <row r="10" customFormat="false" ht="27.75" hidden="false" customHeight="true" outlineLevel="0" collapsed="false">
      <c r="A10" s="7" t="s">
        <v>42</v>
      </c>
      <c r="B10" s="12" t="n">
        <f aca="false">B7</f>
        <v>5.3</v>
      </c>
      <c r="D10" s="9" t="s">
        <v>43</v>
      </c>
    </row>
    <row r="11" customFormat="false" ht="27.75" hidden="false" customHeight="true" outlineLevel="0" collapsed="false">
      <c r="A11" s="7" t="s">
        <v>128</v>
      </c>
      <c r="B11" s="7" t="s">
        <v>129</v>
      </c>
      <c r="D11" s="9" t="s">
        <v>130</v>
      </c>
    </row>
    <row r="12" customFormat="false" ht="27.75" hidden="false" customHeight="true" outlineLevel="0" collapsed="false">
      <c r="A12" s="7" t="s">
        <v>131</v>
      </c>
      <c r="B12" s="7" t="s">
        <v>132</v>
      </c>
      <c r="D12" s="9" t="s">
        <v>133</v>
      </c>
    </row>
    <row r="13" customFormat="false" ht="27.75" hidden="false" customHeight="true" outlineLevel="0" collapsed="false">
      <c r="A13" s="7" t="s">
        <v>134</v>
      </c>
      <c r="B13" s="7" t="s">
        <v>135</v>
      </c>
      <c r="D13" s="9" t="s">
        <v>136</v>
      </c>
    </row>
    <row r="15" customFormat="false" ht="15" hidden="false" customHeight="true" outlineLevel="0" collapsed="false">
      <c r="A15" s="5" t="s">
        <v>137</v>
      </c>
      <c r="B15" s="6"/>
      <c r="C15" s="6"/>
    </row>
    <row r="16" customFormat="false" ht="27.75" hidden="false" customHeight="true" outlineLevel="0" collapsed="false">
      <c r="A16" s="7" t="s">
        <v>138</v>
      </c>
      <c r="B16" s="12" t="n">
        <f aca="false">B7</f>
        <v>5.3</v>
      </c>
      <c r="D16" s="9" t="s">
        <v>139</v>
      </c>
    </row>
    <row r="17" customFormat="false" ht="27.75" hidden="false" customHeight="true" outlineLevel="0" collapsed="false">
      <c r="A17" s="7" t="s">
        <v>44</v>
      </c>
      <c r="B17" s="8" t="n">
        <v>4.5</v>
      </c>
      <c r="D17" s="9" t="s">
        <v>45</v>
      </c>
    </row>
    <row r="18" customFormat="false" ht="27.75" hidden="false" customHeight="true" outlineLevel="0" collapsed="false">
      <c r="A18" s="7" t="s">
        <v>46</v>
      </c>
      <c r="B18" s="12" t="n">
        <f aca="false">B17-(B5/2)</f>
        <v>2</v>
      </c>
      <c r="D18" s="9" t="s">
        <v>47</v>
      </c>
    </row>
    <row r="19" customFormat="false" ht="27.75" hidden="false" customHeight="true" outlineLevel="0" collapsed="false">
      <c r="A19" s="7" t="s">
        <v>140</v>
      </c>
      <c r="B19" s="12" t="n">
        <f aca="false">2*SQRT((B5/2)^2-B18^2)</f>
        <v>3</v>
      </c>
      <c r="D19" s="9" t="s">
        <v>141</v>
      </c>
    </row>
    <row r="20" customFormat="false" ht="27.75" hidden="false" customHeight="true" outlineLevel="0" collapsed="false">
      <c r="A20" s="7" t="s">
        <v>142</v>
      </c>
      <c r="B20" s="8" t="n">
        <v>15</v>
      </c>
      <c r="D20" s="9" t="s">
        <v>143</v>
      </c>
    </row>
    <row r="21" customFormat="false" ht="27.75" hidden="false" customHeight="true" outlineLevel="0" collapsed="false">
      <c r="A21" s="7" t="s">
        <v>128</v>
      </c>
      <c r="B21" s="7" t="s">
        <v>144</v>
      </c>
      <c r="D21" s="9" t="s">
        <v>130</v>
      </c>
    </row>
    <row r="22" customFormat="false" ht="27.75" hidden="false" customHeight="true" outlineLevel="0" collapsed="false">
      <c r="A22" s="7" t="s">
        <v>131</v>
      </c>
      <c r="B22" s="7" t="s">
        <v>145</v>
      </c>
      <c r="D22" s="9" t="s">
        <v>133</v>
      </c>
    </row>
    <row r="24" customFormat="false" ht="15" hidden="false" customHeight="true" outlineLevel="0" collapsed="false">
      <c r="A24" s="5" t="s">
        <v>146</v>
      </c>
      <c r="B24" s="6"/>
      <c r="C24" s="6"/>
    </row>
    <row r="25" customFormat="false" ht="15" hidden="false" customHeight="true" outlineLevel="0" collapsed="false">
      <c r="A25" s="15" t="s">
        <v>147</v>
      </c>
      <c r="B25" s="15"/>
      <c r="C25" s="15"/>
      <c r="D25" s="15"/>
    </row>
    <row r="26" customFormat="false" ht="15" hidden="false" customHeight="true" outlineLevel="0" collapsed="false">
      <c r="A26" s="15" t="s">
        <v>148</v>
      </c>
      <c r="B26" s="15"/>
      <c r="C26" s="15"/>
      <c r="D26" s="15"/>
    </row>
    <row r="27" customFormat="false" ht="15" hidden="false" customHeight="true" outlineLevel="0" collapsed="false">
      <c r="A27" s="15" t="s">
        <v>149</v>
      </c>
      <c r="B27" s="15"/>
      <c r="C27" s="15"/>
      <c r="D27" s="15"/>
    </row>
    <row r="28" customFormat="false" ht="15" hidden="false" customHeight="true" outlineLevel="0" collapsed="false">
      <c r="A28" s="15" t="s">
        <v>150</v>
      </c>
      <c r="B28" s="15"/>
      <c r="C28" s="15"/>
      <c r="D28" s="15"/>
    </row>
    <row r="29" customFormat="false" ht="15" hidden="false" customHeight="true" outlineLevel="0" collapsed="false">
      <c r="A29" s="15" t="s">
        <v>151</v>
      </c>
      <c r="B29" s="15"/>
      <c r="C29" s="15"/>
      <c r="D29" s="15"/>
    </row>
    <row r="30" customFormat="false" ht="15" hidden="false" customHeight="true" outlineLevel="0" collapsed="false">
      <c r="A30" s="15" t="s">
        <v>152</v>
      </c>
      <c r="B30" s="15"/>
      <c r="C30" s="15"/>
      <c r="D30" s="15"/>
    </row>
    <row r="31" customFormat="false" ht="15" hidden="false" customHeight="true" outlineLevel="0" collapsed="false">
      <c r="A31" s="15" t="s">
        <v>153</v>
      </c>
      <c r="B31" s="15"/>
      <c r="C31" s="15"/>
      <c r="D31" s="15"/>
    </row>
  </sheetData>
  <mergeCells count="7">
    <mergeCell ref="A25:D25"/>
    <mergeCell ref="A26:D26"/>
    <mergeCell ref="A27:D27"/>
    <mergeCell ref="A28:D28"/>
    <mergeCell ref="A29:D29"/>
    <mergeCell ref="A30:D30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2026-07-27T15:51:29Z</dcterms:created>
  <dc:creator>openpyxl</dc:creator>
  <dc:description/>
  <dc:language>en-US</dc:language>
  <cp:lastModifiedBy/>
  <dcterms:modified xsi:type="dcterms:W3CDTF">2026-07-30T17:27:26Z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